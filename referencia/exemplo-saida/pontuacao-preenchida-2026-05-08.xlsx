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Como ler" sheetId="1" state="visible" r:id="rId1"/>
    <sheet xmlns:r="http://schemas.openxmlformats.org/officeDocument/2006/relationships" name="Exemplo P1 (P1-C1)" sheetId="2" state="visible" r:id="rId2"/>
    <sheet xmlns:r="http://schemas.openxmlformats.org/officeDocument/2006/relationships" name="Exemplo P2 (P2-C1)" sheetId="3" state="visible" r:id="rId3"/>
    <sheet xmlns:r="http://schemas.openxmlformats.org/officeDocument/2006/relationships" name="Exemplo P3 (P3-C5)" sheetId="4" state="visible" r:id="rId4"/>
    <sheet xmlns:r="http://schemas.openxmlformats.org/officeDocument/2006/relationships" name="📊 Resumo (Pillar + Overal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b val="1"/>
      <color rgb="001E293B"/>
      <sz val="16"/>
    </font>
    <font>
      <i val="1"/>
      <color rgb="0064748B"/>
    </font>
    <font>
      <b val="1"/>
      <color rgb="001E293B"/>
      <sz val="12"/>
    </font>
    <font>
      <b val="1"/>
      <color rgb="00334155"/>
      <sz val="10"/>
    </font>
    <font>
      <b val="1"/>
      <color rgb="001E293B"/>
      <sz val="14"/>
    </font>
    <font>
      <b val="1"/>
      <color rgb="00FFFFFF"/>
      <sz val="11"/>
    </font>
    <font>
      <name val="Menlo"/>
      <color rgb="0064748B"/>
      <sz val="9"/>
    </font>
    <font>
      <b val="1"/>
    </font>
    <font>
      <b val="1"/>
      <color rgb="00065F46"/>
      <sz val="12"/>
    </font>
    <font>
      <b val="1"/>
      <color rgb="00065F46"/>
      <sz val="14"/>
    </font>
    <font>
      <b val="1"/>
      <i val="1"/>
      <color rgb="0064748B"/>
    </font>
    <font>
      <i val="1"/>
      <color rgb="0064748B"/>
      <sz val="9"/>
    </font>
    <font>
      <b val="1"/>
      <sz val="14"/>
    </font>
    <font>
      <b val="1"/>
      <sz val="12"/>
    </font>
    <font>
      <b val="1"/>
      <color rgb="003730A3"/>
      <sz val="14"/>
    </font>
    <font>
      <b val="1"/>
      <color rgb="003730A3"/>
      <sz val="16"/>
    </font>
    <font>
      <b val="1"/>
      <color rgb="003730A3"/>
    </font>
    <font>
      <i val="1"/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C7D2FE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8" fillId="0" borderId="0" pivotButton="0" quotePrefix="0" xfId="0"/>
    <xf numFmtId="2" fontId="8" fillId="6" borderId="1" applyAlignment="1" pivotButton="0" quotePrefix="0" xfId="0">
      <alignment horizontal="center"/>
    </xf>
    <xf numFmtId="0" fontId="9" fillId="0" borderId="0" pivotButton="0" quotePrefix="0" xfId="0"/>
    <xf numFmtId="164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2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164" fontId="0" fillId="6" borderId="1" applyAlignment="1" pivotButton="0" quotePrefix="0" xfId="0">
      <alignment horizontal="center"/>
    </xf>
    <xf numFmtId="0" fontId="14" fillId="0" borderId="0" pivotButton="0" quotePrefix="0" xfId="0"/>
    <xf numFmtId="164" fontId="8" fillId="5" borderId="1" applyAlignment="1" pivotButton="0" quotePrefix="0" xfId="0">
      <alignment horizontal="center"/>
    </xf>
    <xf numFmtId="0" fontId="15" fillId="0" borderId="0" pivotButton="0" quotePrefix="0" xfId="0"/>
    <xf numFmtId="164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90" customWidth="1" min="3" max="3"/>
  </cols>
  <sheetData>
    <row r="1" ht="24" customHeight="1">
      <c r="B1" s="1" t="inlineStr">
        <is>
          <t>Pontuação e Cálculo — AI Maturity Assessment</t>
        </is>
      </c>
    </row>
    <row r="2">
      <c r="B2" s="2" t="inlineStr">
        <is>
          <t>Planilha auditável com SUMPRODUCT visível</t>
        </is>
      </c>
    </row>
    <row r="4">
      <c r="B4" s="3" t="inlineStr">
        <is>
          <t>Como funciona</t>
        </is>
      </c>
    </row>
    <row r="5">
      <c r="B5" s="4" t="inlineStr">
        <is>
          <t>3 camadas</t>
        </is>
      </c>
      <c r="C5" s="5" t="inlineStr">
        <is>
          <t>capability_score → pillar_score → overall_score (SUMPRODUCT em cada nível)</t>
        </is>
      </c>
    </row>
    <row r="6">
      <c r="B6" s="4" t="inlineStr">
        <is>
          <t>Capability score</t>
        </is>
      </c>
      <c r="C6" s="5">
        <f> SUMPRODUCT(níveis × pesos) / SUM(pesos)  — apenas questões respondidas entram</f>
        <v/>
      </c>
    </row>
    <row r="7">
      <c r="B7" s="4" t="inlineStr">
        <is>
          <t>Pillar score</t>
        </is>
      </c>
      <c r="C7" s="5">
        <f> SUMPRODUCT(capability_scores × pesos) / SUM(pesos)  — sobre capabilities do pillar</f>
        <v/>
      </c>
    </row>
    <row r="8">
      <c r="B8" s="4" t="inlineStr">
        <is>
          <t>Overall score</t>
        </is>
      </c>
      <c r="C8" s="5">
        <f> SUMPRODUCT(TODAS capabilities × pesos) / SUM(pesos)  — NÃO é média dos 3 pillars</f>
        <v/>
      </c>
    </row>
    <row r="10">
      <c r="B10" s="3" t="inlineStr">
        <is>
          <t>Convenção de cores</t>
        </is>
      </c>
    </row>
    <row r="11">
      <c r="B11" s="4" t="inlineStr">
        <is>
          <t>Amarelo (input)</t>
        </is>
      </c>
      <c r="C11" s="5" t="inlineStr">
        <is>
          <t>Célula editável: nível selecionado, peso, target_level</t>
        </is>
      </c>
    </row>
    <row r="12">
      <c r="B12" s="4" t="inlineStr">
        <is>
          <t>Azul (computed)</t>
        </is>
      </c>
      <c r="C12" s="5" t="inlineStr">
        <is>
          <t>Cálculo intermediário (nível×peso, etc.)</t>
        </is>
      </c>
    </row>
    <row r="13">
      <c r="B13" s="4" t="inlineStr">
        <is>
          <t>Verde (resultado)</t>
        </is>
      </c>
      <c r="C13" s="5" t="inlineStr">
        <is>
          <t>Score final da capability/pillar/overall</t>
        </is>
      </c>
    </row>
    <row r="14">
      <c r="B14" s="4" t="inlineStr">
        <is>
          <t>Rosa (target/gap)</t>
        </is>
      </c>
      <c r="C14" s="5" t="inlineStr">
        <is>
          <t>Target_level e gap_size por capability</t>
        </is>
      </c>
    </row>
    <row r="16">
      <c r="B16" s="3" t="inlineStr">
        <is>
          <t>Escala</t>
        </is>
      </c>
    </row>
    <row r="17">
      <c r="B17" s="4" t="inlineStr">
        <is>
          <t>L0 = 0 (Inicial)</t>
        </is>
      </c>
      <c r="C17" s="5" t="inlineStr">
        <is>
          <t>Sem prática estabelecida</t>
        </is>
      </c>
    </row>
    <row r="18">
      <c r="B18" s="4" t="inlineStr">
        <is>
          <t>L1 = 1 (Em Desenvolvimento)</t>
        </is>
      </c>
      <c r="C18" s="5" t="inlineStr">
        <is>
          <t>Pilotos isolados, &lt;25% de cobertura</t>
        </is>
      </c>
    </row>
    <row r="19">
      <c r="B19" s="4" t="inlineStr">
        <is>
          <t>L2 = 2 (Definido)</t>
        </is>
      </c>
      <c r="C19" s="5" t="inlineStr">
        <is>
          <t>25–50% de cobertura, com diretrizes</t>
        </is>
      </c>
    </row>
    <row r="20">
      <c r="B20" s="4" t="inlineStr">
        <is>
          <t>L3 = 3 (Gerenciado)</t>
        </is>
      </c>
      <c r="C20" s="5" t="inlineStr">
        <is>
          <t>&gt;75% com métricas de impacto</t>
        </is>
      </c>
    </row>
    <row r="21">
      <c r="B21" s="4" t="inlineStr">
        <is>
          <t>L4 = 4 (Otimizando)</t>
        </is>
      </c>
      <c r="C21" s="5" t="inlineStr">
        <is>
          <t>&gt;95% universal, automação contínua</t>
        </is>
      </c>
    </row>
    <row r="23">
      <c r="B23" s="3" t="inlineStr">
        <is>
          <t>Mapeamento score → rótulo</t>
        </is>
      </c>
    </row>
    <row r="24">
      <c r="B24" s="4" t="inlineStr">
        <is>
          <t>score &lt; 0.5</t>
        </is>
      </c>
      <c r="C24" s="5" t="inlineStr">
        <is>
          <t>L0 — Inicial</t>
        </is>
      </c>
    </row>
    <row r="25">
      <c r="B25" s="4" t="inlineStr">
        <is>
          <t>0.5 ≤ score &lt; 1.5</t>
        </is>
      </c>
      <c r="C25" s="5" t="inlineStr">
        <is>
          <t>L1 — Em Desenvolvimento</t>
        </is>
      </c>
    </row>
    <row r="26">
      <c r="B26" s="4" t="inlineStr">
        <is>
          <t>1.5 ≤ score &lt; 2.5</t>
        </is>
      </c>
      <c r="C26" s="5" t="inlineStr">
        <is>
          <t>L2 — Definido</t>
        </is>
      </c>
    </row>
    <row r="27">
      <c r="B27" s="4" t="inlineStr">
        <is>
          <t>2.5 ≤ score &lt; 3.5</t>
        </is>
      </c>
      <c r="C27" s="5" t="inlineStr">
        <is>
          <t>L3 — Gerenciado</t>
        </is>
      </c>
    </row>
    <row r="28">
      <c r="B28" s="4" t="inlineStr">
        <is>
          <t>score ≥ 3.5</t>
        </is>
      </c>
      <c r="C28" s="5" t="inlineStr">
        <is>
          <t>L4 — Otimizando</t>
        </is>
      </c>
    </row>
    <row r="30">
      <c r="B30" s="3" t="inlineStr">
        <is>
          <t>Threshold de cobertura</t>
        </is>
      </c>
    </row>
    <row r="31">
      <c r="B31" s="4" t="inlineStr">
        <is>
          <t>≥ 40 questões respondidas</t>
        </is>
      </c>
      <c r="C31" s="5" t="inlineStr">
        <is>
          <t>OK — scoring confiável</t>
        </is>
      </c>
    </row>
    <row r="32">
      <c r="B32" s="4" t="inlineStr">
        <is>
          <t>25–39 questões</t>
        </is>
      </c>
      <c r="C32" s="5" t="inlineStr">
        <is>
          <t>WARNING — scoring preliminar</t>
        </is>
      </c>
    </row>
    <row r="33">
      <c r="B33" s="4" t="inlineStr">
        <is>
          <t>&lt; 25 questões</t>
        </is>
      </c>
      <c r="C33" s="5" t="inlineStr">
        <is>
          <t>BLOCKED — scoring recusado</t>
        </is>
      </c>
    </row>
    <row r="35">
      <c r="B35" s="3" t="inlineStr">
        <is>
          <t>Gap analysis</t>
        </is>
      </c>
    </row>
    <row r="36">
      <c r="B36" s="4" t="inlineStr">
        <is>
          <t>gap_size</t>
        </is>
      </c>
      <c r="C36" s="5">
        <f> target_level − current_score  (descartado se ≤ 0)</f>
        <v/>
      </c>
    </row>
    <row r="37">
      <c r="B37" s="4" t="inlineStr">
        <is>
          <t>priority_score</t>
        </is>
      </c>
      <c r="C37" s="5">
        <f> peso_capability × gap_size</f>
        <v/>
      </c>
    </row>
    <row r="38">
      <c r="B38" s="4" t="inlineStr">
        <is>
          <t>P0 (≥ 2.4)</t>
        </is>
      </c>
      <c r="C38" s="5" t="inlineStr">
        <is>
          <t>Crítico — endereçar em 30 dias</t>
        </is>
      </c>
    </row>
    <row r="39">
      <c r="B39" s="4" t="inlineStr">
        <is>
          <t>P1 (≥ 1.6)</t>
        </is>
      </c>
      <c r="C39" s="5" t="inlineStr">
        <is>
          <t>Alto — incluir no próximo trimestre</t>
        </is>
      </c>
    </row>
    <row r="40">
      <c r="B40" s="4" t="inlineStr">
        <is>
          <t>P2 (≥ 0.9)</t>
        </is>
      </c>
      <c r="C40" s="5" t="inlineStr">
        <is>
          <t>Médio — backlog do semestre</t>
        </is>
      </c>
    </row>
    <row r="41">
      <c r="B41" s="4" t="inlineStr">
        <is>
          <t>P3 (&lt; 0.9)</t>
        </is>
      </c>
      <c r="C41" s="5" t="inlineStr">
        <is>
          <t>Baixo — monitorar</t>
        </is>
      </c>
    </row>
    <row r="43">
      <c r="B43" s="3" t="inlineStr">
        <is>
          <t>Abas</t>
        </is>
      </c>
    </row>
    <row r="44">
      <c r="B44" s="4" t="inlineStr">
        <is>
          <t>Exemplo P1</t>
        </is>
      </c>
      <c r="C44" s="5" t="inlineStr">
        <is>
          <t>Capability P1-C1 (Assistentes de Codificação IA) — 5 questões</t>
        </is>
      </c>
    </row>
    <row r="45">
      <c r="B45" s="4" t="inlineStr">
        <is>
          <t>Exemplo P2</t>
        </is>
      </c>
      <c r="C45" s="5" t="inlineStr">
        <is>
          <t>Capability P2-C1 (Inteligência de Pipeline CI/CD) — 6 questões</t>
        </is>
      </c>
    </row>
    <row r="46">
      <c r="B46" s="4" t="inlineStr">
        <is>
          <t>Exemplo P3</t>
        </is>
      </c>
      <c r="C46" s="5" t="inlineStr">
        <is>
          <t>Capability P3-C5 (Aplicações Agênticas) — 6 questões</t>
        </is>
      </c>
    </row>
    <row r="47">
      <c r="B47" s="4" t="inlineStr">
        <is>
          <t>Resumo</t>
        </is>
      </c>
      <c r="C47" s="5" t="inlineStr">
        <is>
          <t>Combina os 3 exemplos: pillar scores + overall + gap analysis</t>
        </is>
      </c>
    </row>
  </sheetData>
  <mergeCells count="7">
    <mergeCell ref="B30:C30"/>
    <mergeCell ref="B16:C16"/>
    <mergeCell ref="B10:C10"/>
    <mergeCell ref="B23:C23"/>
    <mergeCell ref="B35:C35"/>
    <mergeCell ref="B4:C4"/>
    <mergeCell ref="B43:C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P1 · P1-C1 — Assistentes de Codificação IA</t>
        </is>
      </c>
    </row>
    <row r="2">
      <c r="A2" s="2" t="inlineStr">
        <is>
          <t>Pillar: Produtividade do Desenvolvedor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P1-C1-Q1</t>
        </is>
      </c>
      <c r="B5" s="5" t="inlineStr">
        <is>
          <t>Em que medida sua organização utiliza ferramentas de completação de código com IA (ex. GitHub Copilot)?</t>
        </is>
      </c>
      <c r="C5" s="9" t="n">
        <v>3</v>
      </c>
      <c r="D5" s="10">
        <f>IF(C5=0,"L0 — Inicial",IF(C5=1,"L1 — Em Desenvolvimento",IF(C5=2,"L2 — Definido",IF(C5=3,"L3 — Gerenciado",IF(C5=4,"L4 — Otimizando","—")))))</f>
        <v/>
      </c>
      <c r="E5" s="11" t="n">
        <v>1</v>
      </c>
      <c r="F5" s="12">
        <f>C5*E5</f>
        <v/>
      </c>
    </row>
    <row r="6" ht="32" customHeight="1">
      <c r="A6" s="8" t="inlineStr">
        <is>
          <t>P1-C1-Q2</t>
        </is>
      </c>
      <c r="B6" s="5" t="inlineStr">
        <is>
          <t>Quão efetivamente sua equipe aproveita IA para revisão de código e melhoria de qualidade?</t>
        </is>
      </c>
      <c r="C6" s="9" t="n">
        <v>3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P1-C1-Q3</t>
        </is>
      </c>
      <c r="B7" s="5" t="inlineStr">
        <is>
          <t>Como sua organização mede e rastreia o impacto das ferramentas de codificação IA na produtividade?</t>
        </is>
      </c>
      <c r="C7" s="9" t="n">
        <v>2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P1-C1-Q4</t>
        </is>
      </c>
      <c r="B8" s="5" t="inlineStr">
        <is>
          <t>Qual nível de capacidades de testes assistidos por IA sua organização emprega?</t>
        </is>
      </c>
      <c r="C8" s="9" t="n">
        <v>4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P1-C1-Q5</t>
        </is>
      </c>
      <c r="B9" s="5" t="inlineStr">
        <is>
          <t>Como sua organização governa o código gerado por IA em termos de segurança e conformidade?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1">
      <c r="A11" s="15" t="inlineStr">
        <is>
          <t>Σ(Nível × Peso)</t>
        </is>
      </c>
      <c r="F11" s="16">
        <f>SUMPRODUCT(C5:C9,E5:E9)</f>
        <v/>
      </c>
    </row>
    <row r="12">
      <c r="A12" s="15" t="inlineStr">
        <is>
          <t>Σ(Peso)</t>
        </is>
      </c>
      <c r="F12" s="16">
        <f>SUM(E5:E9)</f>
        <v/>
      </c>
    </row>
    <row r="14">
      <c r="A14" s="17" t="inlineStr">
        <is>
          <t>CAPABILITY SCORE</t>
        </is>
      </c>
      <c r="F14" s="18">
        <f>F11/F12</f>
        <v/>
      </c>
    </row>
    <row r="15">
      <c r="A15" s="15" t="inlineStr">
        <is>
          <t>Rótulo de maturidade</t>
        </is>
      </c>
      <c r="F15" s="19">
        <f>IF(F14&lt;0.5,"L0",IF(F14&lt;1.5,"L1",IF(F14&lt;2.5,"L2",IF(F14&lt;3.5,"L3","L4"))))</f>
        <v/>
      </c>
    </row>
    <row r="17">
      <c r="A17" s="15" t="inlineStr">
        <is>
          <t>Target level</t>
        </is>
      </c>
      <c r="F17" s="20" t="n">
        <v>3</v>
      </c>
    </row>
    <row r="18">
      <c r="A18" s="15" t="inlineStr">
        <is>
          <t>gap_size = target − current</t>
        </is>
      </c>
      <c r="F18" s="20">
        <f>MAX(0,F17-F14)</f>
        <v/>
      </c>
    </row>
    <row r="19">
      <c r="A19" s="15" t="inlineStr">
        <is>
          <t>Peso da capability</t>
        </is>
      </c>
      <c r="F19" s="11" t="n">
        <v>1</v>
      </c>
    </row>
    <row r="20">
      <c r="A20" s="15" t="inlineStr">
        <is>
          <t>priority_score = peso × gap</t>
        </is>
      </c>
      <c r="F20" s="21">
        <f>F19*F18</f>
        <v/>
      </c>
    </row>
    <row r="21">
      <c r="A21" s="15" t="inlineStr">
        <is>
          <t>Prioridade</t>
        </is>
      </c>
      <c r="F21" s="22">
        <f>IF(F20&gt;=2.4,"P0 — Crítico",IF(F20&gt;=1.6,"P1 — Alto",IF(F20&gt;=0.9,"P2 — Médio","P3 — Baixo")))</f>
        <v/>
      </c>
    </row>
    <row r="24">
      <c r="A24" s="23" t="inlineStr">
        <is>
          <t>Como ler:</t>
        </is>
      </c>
    </row>
    <row r="25">
      <c r="A25" s="24" t="inlineStr">
        <is>
          <t>• Células AMARELAS são editáveis — mude nível, peso da questão, peso da capability ou target.</t>
        </is>
      </c>
    </row>
    <row r="26">
      <c r="A26" s="24" t="inlineStr">
        <is>
          <t>• Células AZUIS recalculam automaticamente (nível × peso, somatórios).</t>
        </is>
      </c>
    </row>
    <row r="27">
      <c r="A27" s="24" t="inlineStr">
        <is>
          <t>• Célula VERDE é o resultado final da capability (com rótulo L0–L4 abaixo).</t>
        </is>
      </c>
    </row>
    <row r="28">
      <c r="A28" s="24" t="inlineStr">
        <is>
          <t>• Células ROSA mostram gap analysis (target, gap, priority_score, prioridade P0–P3).</t>
        </is>
      </c>
    </row>
    <row r="29">
      <c r="A29" s="24" t="inlineStr">
        <is>
          <t>• Aba 'Resumo' usa este capability_score (Cell F14) para calcular pillar e overall.</t>
        </is>
      </c>
    </row>
  </sheetData>
  <mergeCells count="14">
    <mergeCell ref="A21:E21"/>
    <mergeCell ref="A2:F2"/>
    <mergeCell ref="A28:F28"/>
    <mergeCell ref="A20:E20"/>
    <mergeCell ref="A15:E15"/>
    <mergeCell ref="A1:F1"/>
    <mergeCell ref="A29:F29"/>
    <mergeCell ref="A19:E19"/>
    <mergeCell ref="A27:F27"/>
    <mergeCell ref="A14:E14"/>
    <mergeCell ref="A26:F26"/>
    <mergeCell ref="A17:E17"/>
    <mergeCell ref="A18:E18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P2 · P2-C1 — Inteligência de Pipeline CI/CD</t>
        </is>
      </c>
    </row>
    <row r="2">
      <c r="A2" s="2" t="inlineStr">
        <is>
          <t>Pillar: Ciclo de Vida DevOps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P2-C1-Q1</t>
        </is>
      </c>
      <c r="B5" s="5" t="inlineStr">
        <is>
          <t>Quão maduro é seu pipeline CI/CD em termos de automação e integração de IA?</t>
        </is>
      </c>
      <c r="C5" s="9" t="n">
        <v>2</v>
      </c>
      <c r="D5" s="10">
        <f>IF(C5=0,"L0 — Inicial",IF(C5=1,"L1 — Em Desenvolvimento",IF(C5=2,"L2 — Definido",IF(C5=3,"L3 — Gerenciado",IF(C5=4,"L4 — Otimizando","—")))))</f>
        <v/>
      </c>
      <c r="E5" s="11" t="n">
        <v>1.5</v>
      </c>
      <c r="F5" s="12">
        <f>C5*E5</f>
        <v/>
      </c>
    </row>
    <row r="6" ht="32" customHeight="1">
      <c r="A6" s="8" t="inlineStr">
        <is>
          <t>P2-C1-Q2</t>
        </is>
      </c>
      <c r="B6" s="5" t="inlineStr">
        <is>
          <t>Em que medida Inteligência de Pipeline CI/CD (pipeline-as-code everywhere) foi adotado entre as equipes?</t>
        </is>
      </c>
      <c r="C6" s="9" t="n">
        <v>3</v>
      </c>
      <c r="D6" s="13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P2-C1-Q3</t>
        </is>
      </c>
      <c r="B7" s="5" t="inlineStr">
        <is>
          <t>Em que medida Inteligência de Pipeline CI/CD (build caching and artifact reuse) foi adotado entre as equipes?</t>
        </is>
      </c>
      <c r="C7" s="9" t="n">
        <v>2</v>
      </c>
      <c r="D7" s="14">
        <f>IF(C7=0,"L0 — Inicial",IF(C7=1,"L1 — Em Desenvolvimento",IF(C7=2,"L2 — Definido",IF(C7=3,"L3 — Gerenciado",IF(C7=4,"L4 — Otimizando","—")))))</f>
        <v/>
      </c>
      <c r="E7" s="11" t="n">
        <v>1</v>
      </c>
      <c r="F7" s="12">
        <f>C7*E7</f>
        <v/>
      </c>
    </row>
    <row r="8" ht="32" customHeight="1">
      <c r="A8" s="8" t="inlineStr">
        <is>
          <t>P2-C1-Q4</t>
        </is>
      </c>
      <c r="B8" s="5" t="inlineStr">
        <is>
          <t>Em que medida Inteligência de Pipeline CI/CD (trunk-based development) foi adotado entre as equipes?</t>
        </is>
      </c>
      <c r="C8" s="9" t="n">
        <v>2</v>
      </c>
      <c r="D8" s="13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P2-C1-Q5</t>
        </is>
      </c>
      <c r="B9" s="5" t="inlineStr">
        <is>
          <t>Em que medida Inteligência de Pipeline CI/CD (deployment frequency) foi adotado entre as equipes?</t>
        </is>
      </c>
      <c r="C9" s="9" t="n">
        <v>3</v>
      </c>
      <c r="D9" s="10">
        <f>IF(C9=0,"L0 — Inicial",IF(C9=1,"L1 — Em Desenvolvimento",IF(C9=2,"L2 — Definido",IF(C9=3,"L3 — Gerenciado",IF(C9=4,"L4 — Otimizando","—")))))</f>
        <v/>
      </c>
      <c r="E9" s="11" t="n">
        <v>1.5</v>
      </c>
      <c r="F9" s="12">
        <f>C9*E9</f>
        <v/>
      </c>
    </row>
    <row r="10" ht="32" customHeight="1">
      <c r="A10" s="8" t="inlineStr">
        <is>
          <t>P2-C1-Q6</t>
        </is>
      </c>
      <c r="B10" s="5" t="inlineStr">
        <is>
          <t>Em que medida Inteligência de Pipeline CI/CD (feature flags for progressive delivery) foi adotado entre as equipes?</t>
        </is>
      </c>
      <c r="C10" s="9" t="n">
        <v>2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1</v>
      </c>
      <c r="F10" s="12">
        <f>C10*E10</f>
        <v/>
      </c>
    </row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8">
      <c r="A18" s="15" t="inlineStr">
        <is>
          <t>Target level</t>
        </is>
      </c>
      <c r="F18" s="20" t="n">
        <v>3.5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8" customWidth="1" min="3" max="3"/>
    <col width="24" customWidth="1" min="4" max="4"/>
    <col width="9" customWidth="1" min="5" max="5"/>
    <col width="14" customWidth="1" min="6" max="6"/>
  </cols>
  <sheetData>
    <row r="1">
      <c r="A1" s="6" t="inlineStr">
        <is>
          <t>P3 · P3-C5 — Aplicações Agênticas</t>
        </is>
      </c>
    </row>
    <row r="2">
      <c r="A2" s="2" t="inlineStr">
        <is>
          <t>Pillar: Plataforma de Aplicações</t>
        </is>
      </c>
    </row>
    <row r="4">
      <c r="A4" s="7" t="inlineStr">
        <is>
          <t>ID Questão</t>
        </is>
      </c>
      <c r="B4" s="7" t="inlineStr">
        <is>
          <t>Pergunta (PT-BR)</t>
        </is>
      </c>
      <c r="C4" s="7" t="inlineStr">
        <is>
          <t>Nível (0-4)</t>
        </is>
      </c>
      <c r="D4" s="7" t="inlineStr">
        <is>
          <t>Rótulo</t>
        </is>
      </c>
      <c r="E4" s="7" t="inlineStr">
        <is>
          <t>Peso</t>
        </is>
      </c>
      <c r="F4" s="7" t="inlineStr">
        <is>
          <t>Nível × Peso</t>
        </is>
      </c>
    </row>
    <row r="5" ht="32" customHeight="1">
      <c r="A5" s="8" t="inlineStr">
        <is>
          <t>P3-C5-Q1</t>
        </is>
      </c>
      <c r="B5" s="5" t="inlineStr">
        <is>
          <t>Em que medida Aplicações Agênticas (agents with tool-use in prod) foi adotado entre as equipes?</t>
        </is>
      </c>
      <c r="C5" s="9" t="n">
        <v>1</v>
      </c>
      <c r="D5" s="13">
        <f>IF(C5=0,"L0 — Inicial",IF(C5=1,"L1 — Em Desenvolvimento",IF(C5=2,"L2 — Definido",IF(C5=3,"L3 — Gerenciado",IF(C5=4,"L4 — Otimizando","—")))))</f>
        <v/>
      </c>
      <c r="E5" s="11" t="n">
        <v>2</v>
      </c>
      <c r="F5" s="12">
        <f>C5*E5</f>
        <v/>
      </c>
    </row>
    <row r="6" ht="32" customHeight="1">
      <c r="A6" s="8" t="inlineStr">
        <is>
          <t>P3-C5-Q2</t>
        </is>
      </c>
      <c r="B6" s="5" t="inlineStr">
        <is>
          <t>Em que medida Aplicações Agênticas (orchestration framework (Semantic Kernel, etc)) foi adotado entre as equipes?</t>
        </is>
      </c>
      <c r="C6" s="9" t="n">
        <v>1</v>
      </c>
      <c r="D6" s="14">
        <f>IF(C6=0,"L0 — Inicial",IF(C6=1,"L1 — Em Desenvolvimento",IF(C6=2,"L2 — Definido",IF(C6=3,"L3 — Gerenciado",IF(C6=4,"L4 — Otimizando","—")))))</f>
        <v/>
      </c>
      <c r="E6" s="11" t="n">
        <v>1</v>
      </c>
      <c r="F6" s="12">
        <f>C6*E6</f>
        <v/>
      </c>
    </row>
    <row r="7" ht="32" customHeight="1">
      <c r="A7" s="8" t="inlineStr">
        <is>
          <t>P3-C5-Q3</t>
        </is>
      </c>
      <c r="B7" s="5" t="inlineStr">
        <is>
          <t>Em que medida Aplicações Agênticas (evaluation and safety for agents) foi adotado entre as equipes?</t>
        </is>
      </c>
      <c r="C7" s="9" t="n">
        <v>2</v>
      </c>
      <c r="D7" s="10">
        <f>IF(C7=0,"L0 — Inicial",IF(C7=1,"L1 — Em Desenvolvimento",IF(C7=2,"L2 — Definido",IF(C7=3,"L3 — Gerenciado",IF(C7=4,"L4 — Otimizando","—")))))</f>
        <v/>
      </c>
      <c r="E7" s="11" t="n">
        <v>2</v>
      </c>
      <c r="F7" s="12">
        <f>C7*E7</f>
        <v/>
      </c>
    </row>
    <row r="8" ht="32" customHeight="1">
      <c r="A8" s="8" t="inlineStr">
        <is>
          <t>P3-C5-Q4</t>
        </is>
      </c>
      <c r="B8" s="5" t="inlineStr">
        <is>
          <t>Em que medida Aplicações Agênticas (tool/action registry) foi adotado entre as equipes?</t>
        </is>
      </c>
      <c r="C8" s="9" t="n">
        <v>0</v>
      </c>
      <c r="D8" s="14">
        <f>IF(C8=0,"L0 — Inicial",IF(C8=1,"L1 — Em Desenvolvimento",IF(C8=2,"L2 — Definido",IF(C8=3,"L3 — Gerenciado",IF(C8=4,"L4 — Otimizando","—")))))</f>
        <v/>
      </c>
      <c r="E8" s="11" t="n">
        <v>1</v>
      </c>
      <c r="F8" s="12">
        <f>C8*E8</f>
        <v/>
      </c>
    </row>
    <row r="9" ht="32" customHeight="1">
      <c r="A9" s="8" t="inlineStr">
        <is>
          <t>P3-C5-Q5</t>
        </is>
      </c>
      <c r="B9" s="5" t="inlineStr">
        <is>
          <t>Em que medida Aplicações Agênticas (human-in-the-loop controls) foi adotado entre as equipes?</t>
        </is>
      </c>
      <c r="C9" s="9" t="n">
        <v>1</v>
      </c>
      <c r="D9" s="13">
        <f>IF(C9=0,"L0 — Inicial",IF(C9=1,"L1 — Em Desenvolvimento",IF(C9=2,"L2 — Definido",IF(C9=3,"L3 — Gerenciado",IF(C9=4,"L4 — Otimizando","—")))))</f>
        <v/>
      </c>
      <c r="E9" s="11" t="n">
        <v>1</v>
      </c>
      <c r="F9" s="12">
        <f>C9*E9</f>
        <v/>
      </c>
    </row>
    <row r="10" ht="32" customHeight="1">
      <c r="A10" s="8" t="inlineStr">
        <is>
          <t>P3-C5-Q6</t>
        </is>
      </c>
      <c r="B10" s="5" t="inlineStr">
        <is>
          <t>Em que medida Aplicações Agênticas (agent cost and latency telemetry) foi adotado entre as equipes?</t>
        </is>
      </c>
      <c r="C10" s="9" t="n">
        <v>0</v>
      </c>
      <c r="D10" s="14">
        <f>IF(C10=0,"L0 — Inicial",IF(C10=1,"L1 — Em Desenvolvimento",IF(C10=2,"L2 — Definido",IF(C10=3,"L3 — Gerenciado",IF(C10=4,"L4 — Otimizando","—")))))</f>
        <v/>
      </c>
      <c r="E10" s="11" t="n">
        <v>2</v>
      </c>
      <c r="F10" s="12">
        <f>C10*E10</f>
        <v/>
      </c>
    </row>
    <row r="12">
      <c r="A12" s="15" t="inlineStr">
        <is>
          <t>Σ(Nível × Peso)</t>
        </is>
      </c>
      <c r="F12" s="16">
        <f>SUMPRODUCT(C5:C10,E5:E10)</f>
        <v/>
      </c>
    </row>
    <row r="13">
      <c r="A13" s="15" t="inlineStr">
        <is>
          <t>Σ(Peso)</t>
        </is>
      </c>
      <c r="F13" s="16">
        <f>SUM(E5:E10)</f>
        <v/>
      </c>
    </row>
    <row r="15">
      <c r="A15" s="17" t="inlineStr">
        <is>
          <t>CAPABILITY SCORE</t>
        </is>
      </c>
      <c r="F15" s="18">
        <f>F12/F13</f>
        <v/>
      </c>
    </row>
    <row r="16">
      <c r="A16" s="15" t="inlineStr">
        <is>
          <t>Rótulo de maturidade</t>
        </is>
      </c>
      <c r="F16" s="19">
        <f>IF(F15&lt;0.5,"L0",IF(F15&lt;1.5,"L1",IF(F15&lt;2.5,"L2",IF(F15&lt;3.5,"L3","L4"))))</f>
        <v/>
      </c>
    </row>
    <row r="18">
      <c r="A18" s="15" t="inlineStr">
        <is>
          <t>Target level</t>
        </is>
      </c>
      <c r="F18" s="20" t="n">
        <v>4</v>
      </c>
    </row>
    <row r="19">
      <c r="A19" s="15" t="inlineStr">
        <is>
          <t>gap_size = target − current</t>
        </is>
      </c>
      <c r="F19" s="20">
        <f>MAX(0,F18-F15)</f>
        <v/>
      </c>
    </row>
    <row r="20">
      <c r="A20" s="15" t="inlineStr">
        <is>
          <t>Peso da capability</t>
        </is>
      </c>
      <c r="F20" s="11" t="n">
        <v>1</v>
      </c>
    </row>
    <row r="21">
      <c r="A21" s="15" t="inlineStr">
        <is>
          <t>priority_score = peso × gap</t>
        </is>
      </c>
      <c r="F21" s="21">
        <f>F20*F19</f>
        <v/>
      </c>
    </row>
    <row r="22">
      <c r="A22" s="15" t="inlineStr">
        <is>
          <t>Prioridade</t>
        </is>
      </c>
      <c r="F22" s="22">
        <f>IF(F21&gt;=2.4,"P0 — Crítico",IF(F21&gt;=1.6,"P1 — Alto",IF(F21&gt;=0.9,"P2 — Médio","P3 — Baixo")))</f>
        <v/>
      </c>
    </row>
    <row r="25">
      <c r="A25" s="23" t="inlineStr">
        <is>
          <t>Como ler:</t>
        </is>
      </c>
    </row>
    <row r="26">
      <c r="A26" s="24" t="inlineStr">
        <is>
          <t>• Células AMARELAS são editáveis — mude nível, peso da questão, peso da capability ou target.</t>
        </is>
      </c>
    </row>
    <row r="27">
      <c r="A27" s="24" t="inlineStr">
        <is>
          <t>• Células AZUIS recalculam automaticamente (nível × peso, somatórios).</t>
        </is>
      </c>
    </row>
    <row r="28">
      <c r="A28" s="24" t="inlineStr">
        <is>
          <t>• Célula VERDE é o resultado final da capability (com rótulo L0–L4 abaixo).</t>
        </is>
      </c>
    </row>
    <row r="29">
      <c r="A29" s="24" t="inlineStr">
        <is>
          <t>• Células ROSA mostram gap analysis (target, gap, priority_score, prioridade P0–P3).</t>
        </is>
      </c>
    </row>
    <row r="30">
      <c r="A30" s="24" t="inlineStr">
        <is>
          <t>• Aba 'Resumo' usa este capability_score (Cell F15) para calcular pillar e overall.</t>
        </is>
      </c>
    </row>
  </sheetData>
  <mergeCells count="14">
    <mergeCell ref="A21:E21"/>
    <mergeCell ref="A2:F2"/>
    <mergeCell ref="A28:F28"/>
    <mergeCell ref="A20:E20"/>
    <mergeCell ref="A16:E16"/>
    <mergeCell ref="A15:E15"/>
    <mergeCell ref="A1:F1"/>
    <mergeCell ref="A29:F29"/>
    <mergeCell ref="A19:E19"/>
    <mergeCell ref="A27:F27"/>
    <mergeCell ref="A26:F26"/>
    <mergeCell ref="A30:F30"/>
    <mergeCell ref="A22:E22"/>
    <mergeCell ref="A18:E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I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5" t="inlineStr">
        <is>
          <t>Resumo de Pontuação — Combinando os 3 exemplos</t>
        </is>
      </c>
    </row>
    <row r="2">
      <c r="B2" s="2" t="inlineStr">
        <is>
          <t>Pillar score = SUMPRODUCT(capability × peso) / SUM(peso). Overall = SUMPRODUCT sobre TODAS capabilities.</t>
        </is>
      </c>
    </row>
    <row r="4">
      <c r="B4" s="7" t="inlineStr">
        <is>
          <t>Pillar</t>
        </is>
      </c>
      <c r="C4" s="7" t="inlineStr">
        <is>
          <t>Capability</t>
        </is>
      </c>
      <c r="D4" s="7" t="inlineStr">
        <is>
          <t>Capability Score</t>
        </is>
      </c>
      <c r="E4" s="7" t="inlineStr">
        <is>
          <t>Peso Capability</t>
        </is>
      </c>
      <c r="F4" s="7" t="inlineStr">
        <is>
          <t>score × peso</t>
        </is>
      </c>
      <c r="G4" s="7" t="inlineStr">
        <is>
          <t>Target</t>
        </is>
      </c>
      <c r="H4" s="7" t="inlineStr">
        <is>
          <t>Gap</t>
        </is>
      </c>
      <c r="I4" s="7" t="inlineStr">
        <is>
          <t>Priority</t>
        </is>
      </c>
    </row>
    <row r="5" ht="28" customHeight="1">
      <c r="B5" s="26" t="inlineStr">
        <is>
          <t>P1</t>
        </is>
      </c>
      <c r="C5" s="27" t="inlineStr">
        <is>
          <t>P1-C1 — Assistentes de Codificação IA</t>
        </is>
      </c>
      <c r="D5" s="28">
        <f>'Exemplo P1 (P1-C1)'!F14</f>
        <v/>
      </c>
      <c r="E5" s="12">
        <f>'Exemplo P1 (P1-C1)'!F19</f>
        <v/>
      </c>
      <c r="F5" s="12">
        <f>D5*E5</f>
        <v/>
      </c>
      <c r="G5" s="11" t="n">
        <v>3</v>
      </c>
      <c r="H5" s="20">
        <f>MAX(0,G5-D5)</f>
        <v/>
      </c>
      <c r="I5" s="22">
        <f>IF(E5*H5&gt;=2.4,"P0",IF(E5*H5&gt;=1.6,"P1",IF(E5*H5&gt;=0.9,"P2","P3")))</f>
        <v/>
      </c>
    </row>
    <row r="6" ht="28" customHeight="1">
      <c r="B6" s="26" t="inlineStr">
        <is>
          <t>P2</t>
        </is>
      </c>
      <c r="C6" s="27" t="inlineStr">
        <is>
          <t>P2-C1 — Inteligência de Pipeline CI/CD</t>
        </is>
      </c>
      <c r="D6" s="28">
        <f>'Exemplo P2 (P2-C1)'!F15</f>
        <v/>
      </c>
      <c r="E6" s="12">
        <f>'Exemplo P2 (P2-C1)'!F20</f>
        <v/>
      </c>
      <c r="F6" s="12">
        <f>D6*E6</f>
        <v/>
      </c>
      <c r="G6" s="11" t="n">
        <v>3</v>
      </c>
      <c r="H6" s="20">
        <f>MAX(0,G6-D6)</f>
        <v/>
      </c>
      <c r="I6" s="22">
        <f>IF(E6*H6&gt;=2.4,"P0",IF(E6*H6&gt;=1.6,"P1",IF(E6*H6&gt;=0.9,"P2","P3")))</f>
        <v/>
      </c>
    </row>
    <row r="7" ht="28" customHeight="1">
      <c r="B7" s="26" t="inlineStr">
        <is>
          <t>P3</t>
        </is>
      </c>
      <c r="C7" s="27" t="inlineStr">
        <is>
          <t>P3-C5 — Aplicações Agênticas</t>
        </is>
      </c>
      <c r="D7" s="28">
        <f>'Exemplo P3 (P3-C5)'!F15</f>
        <v/>
      </c>
      <c r="E7" s="12">
        <f>'Exemplo P3 (P3-C5)'!F20</f>
        <v/>
      </c>
      <c r="F7" s="12">
        <f>D7*E7</f>
        <v/>
      </c>
      <c r="G7" s="11" t="n">
        <v>4</v>
      </c>
      <c r="H7" s="20">
        <f>MAX(0,G7-D7)</f>
        <v/>
      </c>
      <c r="I7" s="22">
        <f>IF(E7*H7&gt;=2.4,"P0",IF(E7*H7&gt;=1.6,"P1",IF(E7*H7&gt;=0.9,"P2","P3")))</f>
        <v/>
      </c>
    </row>
    <row r="10">
      <c r="B10" s="29" t="inlineStr">
        <is>
          <t>Pillar Scores</t>
        </is>
      </c>
    </row>
    <row r="11">
      <c r="B11" s="15" t="inlineStr">
        <is>
          <t>P1</t>
        </is>
      </c>
      <c r="C11" t="inlineStr">
        <is>
          <t>P1 — Produtividade do Desenvolvedor</t>
        </is>
      </c>
      <c r="D11" s="30">
        <f>F5/E5</f>
        <v/>
      </c>
      <c r="E11" s="19">
        <f>IF(D11&lt;0.5,"L0",IF(D11&lt;1.5,"L1",IF(D11&lt;2.5,"L2",IF(D11&lt;3.5,"L3","L4"))))</f>
        <v/>
      </c>
    </row>
    <row r="12">
      <c r="B12" s="15" t="inlineStr">
        <is>
          <t>P2</t>
        </is>
      </c>
      <c r="C12" t="inlineStr">
        <is>
          <t>P2 — Ciclo de Vida DevOps</t>
        </is>
      </c>
      <c r="D12" s="30">
        <f>F6/E6</f>
        <v/>
      </c>
      <c r="E12" s="19">
        <f>IF(D12&lt;0.5,"L0",IF(D12&lt;1.5,"L1",IF(D12&lt;2.5,"L2",IF(D12&lt;3.5,"L3","L4"))))</f>
        <v/>
      </c>
    </row>
    <row r="13">
      <c r="B13" s="15" t="inlineStr">
        <is>
          <t>P3</t>
        </is>
      </c>
      <c r="C13" t="inlineStr">
        <is>
          <t>P3 — Plataforma de Aplicações</t>
        </is>
      </c>
      <c r="D13" s="30">
        <f>F7/E7</f>
        <v/>
      </c>
      <c r="E13" s="19">
        <f>IF(D13&lt;0.5,"L0",IF(D13&lt;1.5,"L1",IF(D13&lt;2.5,"L2",IF(D13&lt;3.5,"L3","L4"))))</f>
        <v/>
      </c>
    </row>
    <row r="15" ht="32" customHeight="1">
      <c r="B15" s="31" t="inlineStr">
        <is>
          <t>OVERALL SCORE</t>
        </is>
      </c>
      <c r="D15" s="32">
        <f>SUMPRODUCT(D5:D7,E5:E7)/SUM(E5:E7)</f>
        <v/>
      </c>
      <c r="E15" s="33">
        <f>IF(D15&lt;0.5,"L0 — Inicial",IF(D15&lt;1.5,"L1 — Em Desenvolvimento",IF(D15&lt;2.5,"L2 — Definido",IF(D15&lt;3.5,"L3 — Gerenciado","L4 — Otimizando"))))</f>
        <v/>
      </c>
      <c r="F15" s="34" t="n"/>
      <c r="G15" s="34" t="n"/>
      <c r="H15" s="34" t="n"/>
      <c r="I15" s="35" t="n"/>
    </row>
    <row r="18">
      <c r="B18" s="36" t="inlineStr">
        <is>
          <t>Fórmulas usadas:</t>
        </is>
      </c>
    </row>
    <row r="19">
      <c r="B19" s="36" t="inlineStr">
        <is>
          <t xml:space="preserve">   • Pillar score (1 cap por pillar nesta demo): = score × peso / peso  (no caso real: SUMPRODUCT sobre todas as capabilities do pillar)</t>
        </is>
      </c>
    </row>
    <row r="20">
      <c r="B20" s="36" t="inlineStr">
        <is>
          <t xml:space="preserve">   • Overall: =SUMPRODUCT(D5:D7; E5:E7) / SUM(E5:E7)</t>
        </is>
      </c>
    </row>
    <row r="21">
      <c r="B21" s="36" t="inlineStr"/>
    </row>
    <row r="22">
      <c r="B22" s="36" t="inlineStr">
        <is>
          <t>Observação:</t>
        </is>
      </c>
    </row>
    <row r="23">
      <c r="B23" s="36" t="inlineStr">
        <is>
          <t xml:space="preserve">   • Na plataforma real, cada pillar tem ~9-10 capabilities. O Overall NÃO é média dos 3 pillars — é SUMPRODUCT direto.</t>
        </is>
      </c>
    </row>
    <row r="24">
      <c r="B24" s="36" t="inlineStr">
        <is>
          <t xml:space="preserve">   • Capabilities sem nenhuma resposta (capability_score = NULL) são ignoradas no Overall e no Pillar.</t>
        </is>
      </c>
    </row>
    <row r="25">
      <c r="B25" s="36" t="inlineStr">
        <is>
          <t xml:space="preserve">   • Pesos default são 1.0 (range permitido [0.5, 2.0]).</t>
        </is>
      </c>
    </row>
  </sheetData>
  <mergeCells count="13">
    <mergeCell ref="B18:I18"/>
    <mergeCell ref="B21:I21"/>
    <mergeCell ref="E15:I15"/>
    <mergeCell ref="B15:C15"/>
    <mergeCell ref="B1:H1"/>
    <mergeCell ref="B25:I25"/>
    <mergeCell ref="B24:I24"/>
    <mergeCell ref="B20:I20"/>
    <mergeCell ref="B10:I10"/>
    <mergeCell ref="B2:H2"/>
    <mergeCell ref="B19:I19"/>
    <mergeCell ref="B22:I22"/>
    <mergeCell ref="B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2026-05-08T14:37:11Z</dcterms:created>
  <dcterms:modified xmlns:dcterms="http://purl.org/dc/terms/" xmlns:xsi="http://www.w3.org/2001/XMLSchema-instance" xsi:type="dcterms:W3CDTF">2026-05-08T16:20:08Z</dcterms:modified>
</cp:coreProperties>
</file>